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매출" sheetId="1" state="visible" r:id="rId3"/>
    <sheet name="담당자" sheetId="2" state="visible" r:id="rId4"/>
    <sheet name="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WenQuanYi Zen Hei"/>
            <family val="2"/>
          </rPr>
          <t xml:space="preserve">월은 매월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일로 적습니다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<sst xmlns="http://schemas.openxmlformats.org/spreadsheetml/2006/main" count="144" uniqueCount="47">
  <si>
    <r>
      <rPr>
        <b val="true"/>
        <sz val="14"/>
        <rFont val="Cambria"/>
        <family val="0"/>
        <charset val="1"/>
      </rPr>
      <t xml:space="preserve">2026 </t>
    </r>
    <r>
      <rPr>
        <b val="true"/>
        <sz val="14"/>
        <rFont val="WenQuanYi Zen Hei"/>
        <family val="2"/>
      </rPr>
      <t xml:space="preserve">영업실적 </t>
    </r>
    <r>
      <rPr>
        <b val="true"/>
        <sz val="14"/>
        <rFont val="Cambria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단위</t>
    </r>
    <r>
      <rPr>
        <b val="true"/>
        <sz val="14"/>
        <rFont val="Cambria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원</t>
    </r>
    <r>
      <rPr>
        <b val="true"/>
        <sz val="14"/>
        <rFont val="Cambria"/>
        <family val="0"/>
        <charset val="1"/>
      </rPr>
      <t xml:space="preserve">)</t>
    </r>
  </si>
  <si>
    <t xml:space="preserve">월</t>
  </si>
  <si>
    <t xml:space="preserve">지점</t>
  </si>
  <si>
    <t xml:space="preserve">제품군</t>
  </si>
  <si>
    <t xml:space="preserve">매출</t>
  </si>
  <si>
    <t xml:space="preserve">원가</t>
  </si>
  <si>
    <t xml:space="preserve">이익</t>
  </si>
  <si>
    <t xml:space="preserve">출처</t>
  </si>
  <si>
    <t xml:space="preserve">강남</t>
  </si>
  <si>
    <t xml:space="preserve">가전</t>
  </si>
  <si>
    <t xml:space="preserve">사내 포털</t>
  </si>
  <si>
    <t xml:space="preserve">모바일</t>
  </si>
  <si>
    <t xml:space="preserve">생활</t>
  </si>
  <si>
    <t xml:space="preserve">서초</t>
  </si>
  <si>
    <t xml:space="preserve">송파</t>
  </si>
  <si>
    <t xml:space="preserve">분당</t>
  </si>
  <si>
    <t xml:space="preserve">일산</t>
  </si>
  <si>
    <t xml:space="preserve">사번</t>
  </si>
  <si>
    <t xml:space="preserve">이름</t>
  </si>
  <si>
    <t xml:space="preserve">휴대전화</t>
  </si>
  <si>
    <t xml:space="preserve">입사일</t>
  </si>
  <si>
    <t xml:space="preserve">18867</t>
  </si>
  <si>
    <t xml:space="preserve">김서연</t>
  </si>
  <si>
    <t xml:space="preserve">010-5934-8996</t>
  </si>
  <si>
    <t xml:space="preserve">99596</t>
  </si>
  <si>
    <t xml:space="preserve">이민준</t>
  </si>
  <si>
    <t xml:space="preserve">010-9992-9527</t>
  </si>
  <si>
    <t xml:space="preserve">13896</t>
  </si>
  <si>
    <t xml:space="preserve">박지우</t>
  </si>
  <si>
    <t xml:space="preserve">010-1962-3448</t>
  </si>
  <si>
    <t xml:space="preserve">08024</t>
  </si>
  <si>
    <t xml:space="preserve">최하윤</t>
  </si>
  <si>
    <t xml:space="preserve">010-5359-9589</t>
  </si>
  <si>
    <t xml:space="preserve">30984</t>
  </si>
  <si>
    <t xml:space="preserve">정도윤</t>
  </si>
  <si>
    <t xml:space="preserve">010-3044-8862</t>
  </si>
  <si>
    <t xml:space="preserve">34711</t>
  </si>
  <si>
    <t xml:space="preserve">강서준</t>
  </si>
  <si>
    <t xml:space="preserve">010-5237-7881</t>
  </si>
  <si>
    <t xml:space="preserve">86273</t>
  </si>
  <si>
    <t xml:space="preserve">조하은</t>
  </si>
  <si>
    <t xml:space="preserve">010-5146-3144</t>
  </si>
  <si>
    <t xml:space="preserve">42851</t>
  </si>
  <si>
    <t xml:space="preserve">윤지호</t>
  </si>
  <si>
    <t xml:space="preserve">010-3183-9028</t>
  </si>
  <si>
    <t xml:space="preserve">합계</t>
  </si>
  <si>
    <t xml:space="preserve">총계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</si>
</sst>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"/>
    <numFmt numFmtId="166" formatCode="#,##0"/>
    <numFmt numFmtId="167" formatCode="@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WenQuanYi Zen Hei"/>
      <family val="2"/>
    </font>
    <font>
      <sz val="11"/>
      <color theme="1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지점별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매출!D3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매출!$B$4:$B$18</c:f>
              <c:strCache>
                <c:ptCount val="15"/>
                <c:pt idx="0">
                  <c:v>강남</c:v>
                </c:pt>
                <c:pt idx="1">
                  <c:v>강남</c:v>
                </c:pt>
                <c:pt idx="2">
                  <c:v>강남</c:v>
                </c:pt>
                <c:pt idx="3">
                  <c:v>서초</c:v>
                </c:pt>
                <c:pt idx="4">
                  <c:v>서초</c:v>
                </c:pt>
                <c:pt idx="5">
                  <c:v>서초</c:v>
                </c:pt>
                <c:pt idx="6">
                  <c:v>송파</c:v>
                </c:pt>
                <c:pt idx="7">
                  <c:v>송파</c:v>
                </c:pt>
                <c:pt idx="8">
                  <c:v>송파</c:v>
                </c:pt>
                <c:pt idx="9">
                  <c:v>분당</c:v>
                </c:pt>
                <c:pt idx="10">
                  <c:v>분당</c:v>
                </c:pt>
                <c:pt idx="11">
                  <c:v>분당</c:v>
                </c:pt>
                <c:pt idx="12">
                  <c:v>일산</c:v>
                </c:pt>
                <c:pt idx="13">
                  <c:v>일산</c:v>
                </c:pt>
                <c:pt idx="14">
                  <c:v>일산</c:v>
                </c:pt>
              </c:strCache>
            </c:strRef>
          </c:cat>
          <c:val>
            <c:numRef>
              <c:f>매출!$D$4:$D$18</c:f>
              <c:numCache>
                <c:formatCode>#,##0</c:formatCode>
                <c:ptCount val="15"/>
                <c:pt idx="0">
                  <c:v>10269000</c:v>
                </c:pt>
                <c:pt idx="1">
                  <c:v>8761000</c:v>
                </c:pt>
                <c:pt idx="2">
                  <c:v>6408000</c:v>
                </c:pt>
                <c:pt idx="3">
                  <c:v>13825000</c:v>
                </c:pt>
                <c:pt idx="4">
                  <c:v>17393000</c:v>
                </c:pt>
                <c:pt idx="5">
                  <c:v>4149000</c:v>
                </c:pt>
                <c:pt idx="6">
                  <c:v>13552000</c:v>
                </c:pt>
                <c:pt idx="7">
                  <c:v>18665000</c:v>
                </c:pt>
                <c:pt idx="8">
                  <c:v>12200000</c:v>
                </c:pt>
                <c:pt idx="9">
                  <c:v>6168000</c:v>
                </c:pt>
                <c:pt idx="10">
                  <c:v>15428000</c:v>
                </c:pt>
                <c:pt idx="11">
                  <c:v>7045000</c:v>
                </c:pt>
                <c:pt idx="12">
                  <c:v>6051000</c:v>
                </c:pt>
                <c:pt idx="13">
                  <c:v>14419000</c:v>
                </c:pt>
                <c:pt idx="14">
                  <c:v>18843000</c:v>
                </c:pt>
              </c:numCache>
            </c:numRef>
          </c:val>
        </c:ser>
        <c:gapWidth val="150"/>
        <c:overlap val="0"/>
        <c:axId val="13229002"/>
        <c:axId val="99099780"/>
      </c:barChart>
      <c:catAx>
        <c:axId val="13229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99780"/>
        <c:crosses val="autoZero"/>
        <c:auto val="1"/>
        <c:lblAlgn val="ctr"/>
        <c:lblOffset val="100"/>
        <c:noMultiLvlLbl val="0"/>
      </c:catAx>
      <c:valAx>
        <c:axId val="99099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29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134640</xdr:rowOff>
    </xdr:from>
    <xdr:to>
      <xdr:col>14</xdr:col>
      <xdr:colOff>87840</xdr:colOff>
      <xdr:row>18</xdr:row>
      <xdr:rowOff>167400</xdr:rowOff>
    </xdr:to>
    <xdr:graphicFrame>
      <xdr:nvGraphicFramePr>
        <xdr:cNvPr id="0" name="Chart 1"/>
        <xdr:cNvGraphicFramePr/>
      </xdr:nvGraphicFramePr>
      <xdr:xfrm>
        <a:off x="5311800" y="952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A3:F48" headerRowCount="1" totalsRowCount="0" totalsRowShown="0">
  <tableColumns count="6">
    <tableColumn id="1" name="월"/>
    <tableColumn id="2" name="지점"/>
    <tableColumn id="3" name="제품군"/>
    <tableColumn id="4" name="매출"/>
    <tableColumn id="5" name="원가"/>
    <tableColumn id="6" name="이익"/>
  </tableColumns>
</table>
</file>

<file path=xl/tables/table2.xml><?xml version="1.0" encoding="utf-8"?>
<table xmlns="http://schemas.openxmlformats.org/spreadsheetml/2006/main" id="2" name="Staff" displayName="Staff" ref="A1:E9" headerRowCount="1" totalsRowCount="0" totalsRowShown="0">
  <autoFilter ref="A1:E9"/>
  <tableColumns count="5">
    <tableColumn id="1" name="사번"/>
    <tableColumn id="2" name="이름"/>
    <tableColumn id="3" name="지점"/>
    <tableColumn id="4" name="휴대전화"/>
    <tableColumn id="5" name="입사일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sale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H3" s="2" t="s">
        <v>7</v>
      </c>
    </row>
    <row r="4" customFormat="false" ht="15" hidden="false" customHeight="false" outlineLevel="0" collapsed="false">
      <c r="A4" s="3" t="n">
        <v>46023</v>
      </c>
      <c r="B4" s="2" t="s">
        <v>8</v>
      </c>
      <c r="C4" s="2" t="s">
        <v>9</v>
      </c>
      <c r="D4" s="4" t="n">
        <v>10269000</v>
      </c>
      <c r="E4" s="4" t="n">
        <v>7410000</v>
      </c>
      <c r="F4" s="4" t="n">
        <f aca="false">Sales[[#This Row],[매출]]-Sales[[#This Row],[원가]]</f>
        <v>2859000</v>
      </c>
      <c r="H4" s="2" t="s">
        <v>10</v>
      </c>
    </row>
    <row r="5" customFormat="false" ht="15" hidden="false" customHeight="false" outlineLevel="0" collapsed="false">
      <c r="A5" s="3" t="n">
        <v>46023</v>
      </c>
      <c r="B5" s="2" t="s">
        <v>8</v>
      </c>
      <c r="C5" s="2" t="s">
        <v>11</v>
      </c>
      <c r="D5" s="4" t="n">
        <v>8761000</v>
      </c>
      <c r="E5" s="4" t="n">
        <v>6480000</v>
      </c>
      <c r="F5" s="4" t="n">
        <f aca="false">Sales[[#This Row],[매출]]-Sales[[#This Row],[원가]]</f>
        <v>2281000</v>
      </c>
    </row>
    <row r="6" customFormat="false" ht="15" hidden="false" customHeight="false" outlineLevel="0" collapsed="false">
      <c r="A6" s="3" t="n">
        <v>46023</v>
      </c>
      <c r="B6" s="2" t="s">
        <v>8</v>
      </c>
      <c r="C6" s="2" t="s">
        <v>12</v>
      </c>
      <c r="D6" s="4" t="n">
        <v>6408000</v>
      </c>
      <c r="E6" s="4" t="n">
        <v>4560000</v>
      </c>
      <c r="F6" s="4" t="n">
        <f aca="false">Sales[[#This Row],[매출]]-Sales[[#This Row],[원가]]</f>
        <v>1848000</v>
      </c>
    </row>
    <row r="7" customFormat="false" ht="15" hidden="false" customHeight="false" outlineLevel="0" collapsed="false">
      <c r="A7" s="3" t="n">
        <v>46023</v>
      </c>
      <c r="B7" s="2" t="s">
        <v>13</v>
      </c>
      <c r="C7" s="2" t="s">
        <v>9</v>
      </c>
      <c r="D7" s="4" t="n">
        <v>13825000</v>
      </c>
      <c r="E7" s="4" t="n">
        <v>9730000</v>
      </c>
      <c r="F7" s="4" t="n">
        <f aca="false">Sales[[#This Row],[매출]]-Sales[[#This Row],[원가]]</f>
        <v>4095000</v>
      </c>
    </row>
    <row r="8" customFormat="false" ht="15" hidden="false" customHeight="false" outlineLevel="0" collapsed="false">
      <c r="A8" s="3" t="n">
        <v>46023</v>
      </c>
      <c r="B8" s="2" t="s">
        <v>13</v>
      </c>
      <c r="C8" s="2" t="s">
        <v>11</v>
      </c>
      <c r="D8" s="4" t="n">
        <v>17393000</v>
      </c>
      <c r="E8" s="4" t="n">
        <v>11620000</v>
      </c>
      <c r="F8" s="4" t="n">
        <f aca="false">Sales[[#This Row],[매출]]-Sales[[#This Row],[원가]]</f>
        <v>5773000</v>
      </c>
    </row>
    <row r="9" customFormat="false" ht="15" hidden="false" customHeight="false" outlineLevel="0" collapsed="false">
      <c r="A9" s="3" t="n">
        <v>46023</v>
      </c>
      <c r="B9" s="2" t="s">
        <v>13</v>
      </c>
      <c r="C9" s="2" t="s">
        <v>12</v>
      </c>
      <c r="D9" s="4" t="n">
        <v>4149000</v>
      </c>
      <c r="E9" s="4" t="n">
        <v>2890000</v>
      </c>
      <c r="F9" s="4" t="n">
        <f aca="false">Sales[[#This Row],[매출]]-Sales[[#This Row],[원가]]</f>
        <v>1259000</v>
      </c>
    </row>
    <row r="10" customFormat="false" ht="15" hidden="false" customHeight="false" outlineLevel="0" collapsed="false">
      <c r="A10" s="3" t="n">
        <v>46023</v>
      </c>
      <c r="B10" s="2" t="s">
        <v>14</v>
      </c>
      <c r="C10" s="2" t="s">
        <v>9</v>
      </c>
      <c r="D10" s="4" t="n">
        <v>13552000</v>
      </c>
      <c r="E10" s="4" t="n">
        <v>9900000</v>
      </c>
      <c r="F10" s="4" t="n">
        <f aca="false">Sales[[#This Row],[매출]]-Sales[[#This Row],[원가]]</f>
        <v>3652000</v>
      </c>
    </row>
    <row r="11" customFormat="false" ht="15" hidden="false" customHeight="false" outlineLevel="0" collapsed="false">
      <c r="A11" s="3" t="n">
        <v>46023</v>
      </c>
      <c r="B11" s="2" t="s">
        <v>14</v>
      </c>
      <c r="C11" s="2" t="s">
        <v>11</v>
      </c>
      <c r="D11" s="4" t="n">
        <v>18665000</v>
      </c>
      <c r="E11" s="4" t="n">
        <v>13340000</v>
      </c>
      <c r="F11" s="4" t="n">
        <f aca="false">Sales[[#This Row],[매출]]-Sales[[#This Row],[원가]]</f>
        <v>5325000</v>
      </c>
    </row>
    <row r="12" customFormat="false" ht="15" hidden="false" customHeight="false" outlineLevel="0" collapsed="false">
      <c r="A12" s="3" t="n">
        <v>46023</v>
      </c>
      <c r="B12" s="2" t="s">
        <v>14</v>
      </c>
      <c r="C12" s="2" t="s">
        <v>12</v>
      </c>
      <c r="D12" s="4" t="n">
        <v>12200000</v>
      </c>
      <c r="E12" s="4" t="n">
        <v>8700000</v>
      </c>
      <c r="F12" s="4" t="n">
        <f aca="false">Sales[[#This Row],[매출]]-Sales[[#This Row],[원가]]</f>
        <v>3500000</v>
      </c>
    </row>
    <row r="13" customFormat="false" ht="15" hidden="false" customHeight="false" outlineLevel="0" collapsed="false">
      <c r="A13" s="3" t="n">
        <v>46023</v>
      </c>
      <c r="B13" s="2" t="s">
        <v>15</v>
      </c>
      <c r="C13" s="2" t="s">
        <v>9</v>
      </c>
      <c r="D13" s="4" t="n">
        <v>6168000</v>
      </c>
      <c r="E13" s="4" t="n">
        <v>4750000</v>
      </c>
      <c r="F13" s="4" t="n">
        <f aca="false">Sales[[#This Row],[매출]]-Sales[[#This Row],[원가]]</f>
        <v>1418000</v>
      </c>
    </row>
    <row r="14" customFormat="false" ht="15" hidden="false" customHeight="false" outlineLevel="0" collapsed="false">
      <c r="A14" s="3" t="n">
        <v>46023</v>
      </c>
      <c r="B14" s="2" t="s">
        <v>15</v>
      </c>
      <c r="C14" s="2" t="s">
        <v>11</v>
      </c>
      <c r="D14" s="4" t="n">
        <v>15428000</v>
      </c>
      <c r="E14" s="4" t="n">
        <v>11610000</v>
      </c>
      <c r="F14" s="4" t="n">
        <f aca="false">Sales[[#This Row],[매출]]-Sales[[#This Row],[원가]]</f>
        <v>3818000</v>
      </c>
    </row>
    <row r="15" customFormat="false" ht="15" hidden="false" customHeight="false" outlineLevel="0" collapsed="false">
      <c r="A15" s="3" t="n">
        <v>46023</v>
      </c>
      <c r="B15" s="2" t="s">
        <v>15</v>
      </c>
      <c r="C15" s="2" t="s">
        <v>12</v>
      </c>
      <c r="D15" s="4" t="n">
        <v>7045000</v>
      </c>
      <c r="E15" s="4" t="n">
        <v>5060000</v>
      </c>
      <c r="F15" s="4" t="n">
        <f aca="false">Sales[[#This Row],[매출]]-Sales[[#This Row],[원가]]</f>
        <v>1985000</v>
      </c>
    </row>
    <row r="16" customFormat="false" ht="15" hidden="false" customHeight="false" outlineLevel="0" collapsed="false">
      <c r="A16" s="3" t="n">
        <v>46023</v>
      </c>
      <c r="B16" s="2" t="s">
        <v>16</v>
      </c>
      <c r="C16" s="2" t="s">
        <v>9</v>
      </c>
      <c r="D16" s="4" t="n">
        <v>6051000</v>
      </c>
      <c r="E16" s="4" t="n">
        <v>4120000</v>
      </c>
      <c r="F16" s="4" t="n">
        <f aca="false">Sales[[#This Row],[매출]]-Sales[[#This Row],[원가]]</f>
        <v>1931000</v>
      </c>
    </row>
    <row r="17" customFormat="false" ht="15" hidden="false" customHeight="false" outlineLevel="0" collapsed="false">
      <c r="A17" s="3" t="n">
        <v>46023</v>
      </c>
      <c r="B17" s="2" t="s">
        <v>16</v>
      </c>
      <c r="C17" s="2" t="s">
        <v>11</v>
      </c>
      <c r="D17" s="4" t="n">
        <v>14419000</v>
      </c>
      <c r="E17" s="4" t="n">
        <v>10060000</v>
      </c>
      <c r="F17" s="4" t="n">
        <f aca="false">Sales[[#This Row],[매출]]-Sales[[#This Row],[원가]]</f>
        <v>4359000</v>
      </c>
    </row>
    <row r="18" customFormat="false" ht="15" hidden="false" customHeight="false" outlineLevel="0" collapsed="false">
      <c r="A18" s="3" t="n">
        <v>46023</v>
      </c>
      <c r="B18" s="2" t="s">
        <v>16</v>
      </c>
      <c r="C18" s="2" t="s">
        <v>12</v>
      </c>
      <c r="D18" s="4" t="n">
        <v>18843000</v>
      </c>
      <c r="E18" s="4" t="n">
        <v>12760000</v>
      </c>
      <c r="F18" s="4" t="n">
        <f aca="false">Sales[[#This Row],[매출]]-Sales[[#This Row],[원가]]</f>
        <v>6083000</v>
      </c>
    </row>
    <row r="19" customFormat="false" ht="15" hidden="false" customHeight="false" outlineLevel="0" collapsed="false">
      <c r="A19" s="3" t="n">
        <v>46054</v>
      </c>
      <c r="B19" s="2" t="s">
        <v>8</v>
      </c>
      <c r="C19" s="2" t="s">
        <v>9</v>
      </c>
      <c r="D19" s="4" t="n">
        <v>4146000</v>
      </c>
      <c r="E19" s="4" t="n">
        <v>2800000</v>
      </c>
      <c r="F19" s="4" t="n">
        <f aca="false">Sales[[#This Row],[매출]]-Sales[[#This Row],[원가]]</f>
        <v>1346000</v>
      </c>
    </row>
    <row r="20" customFormat="false" ht="15" hidden="false" customHeight="false" outlineLevel="0" collapsed="false">
      <c r="A20" s="3" t="n">
        <v>46054</v>
      </c>
      <c r="B20" s="2" t="s">
        <v>8</v>
      </c>
      <c r="C20" s="2" t="s">
        <v>11</v>
      </c>
      <c r="D20" s="4" t="n">
        <v>17364000</v>
      </c>
      <c r="E20" s="4" t="n">
        <v>12590000</v>
      </c>
      <c r="F20" s="4" t="n">
        <f aca="false">Sales[[#This Row],[매출]]-Sales[[#This Row],[원가]]</f>
        <v>4774000</v>
      </c>
    </row>
    <row r="21" customFormat="false" ht="15" hidden="false" customHeight="false" outlineLevel="0" collapsed="false">
      <c r="A21" s="3" t="n">
        <v>46054</v>
      </c>
      <c r="B21" s="2" t="s">
        <v>8</v>
      </c>
      <c r="C21" s="2" t="s">
        <v>12</v>
      </c>
      <c r="D21" s="4" t="n">
        <v>17694000</v>
      </c>
      <c r="E21" s="4" t="n">
        <v>12640000</v>
      </c>
      <c r="F21" s="4" t="n">
        <f aca="false">Sales[[#This Row],[매출]]-Sales[[#This Row],[원가]]</f>
        <v>5054000</v>
      </c>
    </row>
    <row r="22" customFormat="false" ht="15" hidden="false" customHeight="false" outlineLevel="0" collapsed="false">
      <c r="A22" s="3" t="n">
        <v>46054</v>
      </c>
      <c r="B22" s="2" t="s">
        <v>13</v>
      </c>
      <c r="C22" s="2" t="s">
        <v>9</v>
      </c>
      <c r="D22" s="4" t="n">
        <v>15530000</v>
      </c>
      <c r="E22" s="4" t="n">
        <v>11500000</v>
      </c>
      <c r="F22" s="4" t="n">
        <f aca="false">Sales[[#This Row],[매출]]-Sales[[#This Row],[원가]]</f>
        <v>4030000</v>
      </c>
    </row>
    <row r="23" customFormat="false" ht="15" hidden="false" customHeight="false" outlineLevel="0" collapsed="false">
      <c r="A23" s="3" t="n">
        <v>46054</v>
      </c>
      <c r="B23" s="2" t="s">
        <v>13</v>
      </c>
      <c r="C23" s="2" t="s">
        <v>11</v>
      </c>
      <c r="D23" s="4" t="n">
        <v>16148000</v>
      </c>
      <c r="E23" s="4" t="n">
        <v>11220000</v>
      </c>
      <c r="F23" s="4" t="n">
        <f aca="false">Sales[[#This Row],[매출]]-Sales[[#This Row],[원가]]</f>
        <v>4928000</v>
      </c>
    </row>
    <row r="24" customFormat="false" ht="15" hidden="false" customHeight="false" outlineLevel="0" collapsed="false">
      <c r="A24" s="3" t="n">
        <v>46054</v>
      </c>
      <c r="B24" s="2" t="s">
        <v>13</v>
      </c>
      <c r="C24" s="2" t="s">
        <v>12</v>
      </c>
      <c r="D24" s="4" t="n">
        <v>11090000</v>
      </c>
      <c r="E24" s="4" t="n">
        <v>7900000</v>
      </c>
      <c r="F24" s="4" t="n">
        <f aca="false">Sales[[#This Row],[매출]]-Sales[[#This Row],[원가]]</f>
        <v>3190000</v>
      </c>
    </row>
    <row r="25" customFormat="false" ht="15" hidden="false" customHeight="false" outlineLevel="0" collapsed="false">
      <c r="A25" s="3" t="n">
        <v>46054</v>
      </c>
      <c r="B25" s="2" t="s">
        <v>14</v>
      </c>
      <c r="C25" s="2" t="s">
        <v>9</v>
      </c>
      <c r="D25" s="4" t="n">
        <v>14918000</v>
      </c>
      <c r="E25" s="4" t="n">
        <v>9920000</v>
      </c>
      <c r="F25" s="4" t="n">
        <f aca="false">Sales[[#This Row],[매출]]-Sales[[#This Row],[원가]]</f>
        <v>4998000</v>
      </c>
    </row>
    <row r="26" customFormat="false" ht="15" hidden="false" customHeight="false" outlineLevel="0" collapsed="false">
      <c r="A26" s="3" t="n">
        <v>46054</v>
      </c>
      <c r="B26" s="2" t="s">
        <v>14</v>
      </c>
      <c r="C26" s="2" t="s">
        <v>11</v>
      </c>
      <c r="D26" s="4" t="n">
        <v>10137000</v>
      </c>
      <c r="E26" s="4" t="n">
        <v>6710000</v>
      </c>
      <c r="F26" s="4" t="n">
        <f aca="false">Sales[[#This Row],[매출]]-Sales[[#This Row],[원가]]</f>
        <v>3427000</v>
      </c>
    </row>
    <row r="27" customFormat="false" ht="15" hidden="false" customHeight="false" outlineLevel="0" collapsed="false">
      <c r="A27" s="3" t="n">
        <v>46054</v>
      </c>
      <c r="B27" s="2" t="s">
        <v>14</v>
      </c>
      <c r="C27" s="2" t="s">
        <v>12</v>
      </c>
      <c r="D27" s="4" t="n">
        <v>8213000</v>
      </c>
      <c r="E27" s="4" t="n">
        <v>6160000</v>
      </c>
      <c r="F27" s="4" t="n">
        <f aca="false">Sales[[#This Row],[매출]]-Sales[[#This Row],[원가]]</f>
        <v>2053000</v>
      </c>
    </row>
    <row r="28" customFormat="false" ht="15" hidden="false" customHeight="false" outlineLevel="0" collapsed="false">
      <c r="A28" s="3" t="n">
        <v>46054</v>
      </c>
      <c r="B28" s="2" t="s">
        <v>15</v>
      </c>
      <c r="C28" s="2" t="s">
        <v>9</v>
      </c>
      <c r="D28" s="4" t="n">
        <v>18411000</v>
      </c>
      <c r="E28" s="4" t="n">
        <v>13900000</v>
      </c>
      <c r="F28" s="4" t="n">
        <f aca="false">Sales[[#This Row],[매출]]-Sales[[#This Row],[원가]]</f>
        <v>4511000</v>
      </c>
    </row>
    <row r="29" customFormat="false" ht="15" hidden="false" customHeight="false" outlineLevel="0" collapsed="false">
      <c r="A29" s="3" t="n">
        <v>46054</v>
      </c>
      <c r="B29" s="2" t="s">
        <v>15</v>
      </c>
      <c r="C29" s="2" t="s">
        <v>11</v>
      </c>
      <c r="D29" s="4" t="n">
        <v>7995000</v>
      </c>
      <c r="E29" s="4" t="n">
        <v>5590000</v>
      </c>
      <c r="F29" s="4" t="n">
        <f aca="false">Sales[[#This Row],[매출]]-Sales[[#This Row],[원가]]</f>
        <v>2405000</v>
      </c>
    </row>
    <row r="30" customFormat="false" ht="15" hidden="false" customHeight="false" outlineLevel="0" collapsed="false">
      <c r="A30" s="3" t="n">
        <v>46054</v>
      </c>
      <c r="B30" s="2" t="s">
        <v>15</v>
      </c>
      <c r="C30" s="2" t="s">
        <v>12</v>
      </c>
      <c r="D30" s="4" t="n">
        <v>16124000</v>
      </c>
      <c r="E30" s="4" t="n">
        <v>12180000</v>
      </c>
      <c r="F30" s="4" t="n">
        <f aca="false">Sales[[#This Row],[매출]]-Sales[[#This Row],[원가]]</f>
        <v>3944000</v>
      </c>
    </row>
    <row r="31" customFormat="false" ht="15" hidden="false" customHeight="false" outlineLevel="0" collapsed="false">
      <c r="A31" s="3" t="n">
        <v>46054</v>
      </c>
      <c r="B31" s="2" t="s">
        <v>16</v>
      </c>
      <c r="C31" s="2" t="s">
        <v>9</v>
      </c>
      <c r="D31" s="4" t="n">
        <v>12007000</v>
      </c>
      <c r="E31" s="4" t="n">
        <v>8910000</v>
      </c>
      <c r="F31" s="4" t="n">
        <f aca="false">Sales[[#This Row],[매출]]-Sales[[#This Row],[원가]]</f>
        <v>3097000</v>
      </c>
    </row>
    <row r="32" customFormat="false" ht="15" hidden="false" customHeight="false" outlineLevel="0" collapsed="false">
      <c r="A32" s="3" t="n">
        <v>46054</v>
      </c>
      <c r="B32" s="2" t="s">
        <v>16</v>
      </c>
      <c r="C32" s="2" t="s">
        <v>11</v>
      </c>
      <c r="D32" s="4" t="n">
        <v>11955000</v>
      </c>
      <c r="E32" s="4" t="n">
        <v>8170000</v>
      </c>
      <c r="F32" s="4" t="n">
        <f aca="false">Sales[[#This Row],[매출]]-Sales[[#This Row],[원가]]</f>
        <v>3785000</v>
      </c>
    </row>
    <row r="33" customFormat="false" ht="15" hidden="false" customHeight="false" outlineLevel="0" collapsed="false">
      <c r="A33" s="3" t="n">
        <v>46054</v>
      </c>
      <c r="B33" s="2" t="s">
        <v>16</v>
      </c>
      <c r="C33" s="2" t="s">
        <v>12</v>
      </c>
      <c r="D33" s="4" t="n">
        <v>4232000</v>
      </c>
      <c r="E33" s="4" t="n">
        <v>3280000</v>
      </c>
      <c r="F33" s="4" t="n">
        <f aca="false">Sales[[#This Row],[매출]]-Sales[[#This Row],[원가]]</f>
        <v>952000</v>
      </c>
    </row>
    <row r="34" customFormat="false" ht="15" hidden="false" customHeight="false" outlineLevel="0" collapsed="false">
      <c r="A34" s="3" t="n">
        <v>46082</v>
      </c>
      <c r="B34" s="2" t="s">
        <v>8</v>
      </c>
      <c r="C34" s="2" t="s">
        <v>9</v>
      </c>
      <c r="D34" s="4" t="n">
        <v>6659000</v>
      </c>
      <c r="E34" s="4" t="n">
        <v>4500000</v>
      </c>
      <c r="F34" s="4" t="n">
        <f aca="false">Sales[[#This Row],[매출]]-Sales[[#This Row],[원가]]</f>
        <v>2159000</v>
      </c>
    </row>
    <row r="35" customFormat="false" ht="15" hidden="false" customHeight="false" outlineLevel="0" collapsed="false">
      <c r="A35" s="3" t="n">
        <v>46082</v>
      </c>
      <c r="B35" s="2" t="s">
        <v>8</v>
      </c>
      <c r="C35" s="2" t="s">
        <v>11</v>
      </c>
      <c r="D35" s="4" t="n">
        <v>13223000</v>
      </c>
      <c r="E35" s="4" t="n">
        <v>10070000</v>
      </c>
      <c r="F35" s="4" t="n">
        <f aca="false">Sales[[#This Row],[매출]]-Sales[[#This Row],[원가]]</f>
        <v>3153000</v>
      </c>
    </row>
    <row r="36" customFormat="false" ht="15" hidden="false" customHeight="false" outlineLevel="0" collapsed="false">
      <c r="A36" s="3" t="n">
        <v>46082</v>
      </c>
      <c r="B36" s="2" t="s">
        <v>8</v>
      </c>
      <c r="C36" s="2" t="s">
        <v>12</v>
      </c>
      <c r="D36" s="4" t="n">
        <v>5488000</v>
      </c>
      <c r="E36" s="4" t="n">
        <v>3700000</v>
      </c>
      <c r="F36" s="4" t="n">
        <f aca="false">Sales[[#This Row],[매출]]-Sales[[#This Row],[원가]]</f>
        <v>1788000</v>
      </c>
    </row>
    <row r="37" customFormat="false" ht="15" hidden="false" customHeight="false" outlineLevel="0" collapsed="false">
      <c r="A37" s="3" t="n">
        <v>46082</v>
      </c>
      <c r="B37" s="2" t="s">
        <v>13</v>
      </c>
      <c r="C37" s="2" t="s">
        <v>9</v>
      </c>
      <c r="D37" s="4" t="n">
        <v>18865000</v>
      </c>
      <c r="E37" s="4" t="n">
        <v>13450000</v>
      </c>
      <c r="F37" s="4" t="n">
        <f aca="false">Sales[[#This Row],[매출]]-Sales[[#This Row],[원가]]</f>
        <v>5415000</v>
      </c>
    </row>
    <row r="38" customFormat="false" ht="15" hidden="false" customHeight="false" outlineLevel="0" collapsed="false">
      <c r="A38" s="3" t="n">
        <v>46082</v>
      </c>
      <c r="B38" s="2" t="s">
        <v>13</v>
      </c>
      <c r="C38" s="2" t="s">
        <v>11</v>
      </c>
      <c r="D38" s="4" t="n">
        <v>4979000</v>
      </c>
      <c r="E38" s="4" t="n">
        <v>3380000</v>
      </c>
      <c r="F38" s="4" t="n">
        <f aca="false">Sales[[#This Row],[매출]]-Sales[[#This Row],[원가]]</f>
        <v>1599000</v>
      </c>
    </row>
    <row r="39" customFormat="false" ht="15" hidden="false" customHeight="false" outlineLevel="0" collapsed="false">
      <c r="A39" s="3" t="n">
        <v>46082</v>
      </c>
      <c r="B39" s="2" t="s">
        <v>13</v>
      </c>
      <c r="C39" s="2" t="s">
        <v>12</v>
      </c>
      <c r="D39" s="4" t="n">
        <v>9548000</v>
      </c>
      <c r="E39" s="4" t="n">
        <v>7440000</v>
      </c>
      <c r="F39" s="4" t="n">
        <f aca="false">Sales[[#This Row],[매출]]-Sales[[#This Row],[원가]]</f>
        <v>2108000</v>
      </c>
    </row>
    <row r="40" customFormat="false" ht="15" hidden="false" customHeight="false" outlineLevel="0" collapsed="false">
      <c r="A40" s="3" t="n">
        <v>46082</v>
      </c>
      <c r="B40" s="2" t="s">
        <v>14</v>
      </c>
      <c r="C40" s="2" t="s">
        <v>9</v>
      </c>
      <c r="D40" s="4" t="n">
        <v>14432000</v>
      </c>
      <c r="E40" s="4" t="n">
        <v>11100000</v>
      </c>
      <c r="F40" s="4" t="n">
        <f aca="false">Sales[[#This Row],[매출]]-Sales[[#This Row],[원가]]</f>
        <v>3332000</v>
      </c>
    </row>
    <row r="41" customFormat="false" ht="15" hidden="false" customHeight="false" outlineLevel="0" collapsed="false">
      <c r="A41" s="3" t="n">
        <v>46082</v>
      </c>
      <c r="B41" s="2" t="s">
        <v>14</v>
      </c>
      <c r="C41" s="2" t="s">
        <v>11</v>
      </c>
      <c r="D41" s="4" t="n">
        <v>7202000</v>
      </c>
      <c r="E41" s="4" t="n">
        <v>4890000</v>
      </c>
      <c r="F41" s="4" t="n">
        <f aca="false">Sales[[#This Row],[매출]]-Sales[[#This Row],[원가]]</f>
        <v>2312000</v>
      </c>
    </row>
    <row r="42" customFormat="false" ht="15" hidden="false" customHeight="false" outlineLevel="0" collapsed="false">
      <c r="A42" s="3" t="n">
        <v>46082</v>
      </c>
      <c r="B42" s="2" t="s">
        <v>14</v>
      </c>
      <c r="C42" s="2" t="s">
        <v>12</v>
      </c>
      <c r="D42" s="4" t="n">
        <v>8953000</v>
      </c>
      <c r="E42" s="4" t="n">
        <v>6580000</v>
      </c>
      <c r="F42" s="4" t="n">
        <f aca="false">Sales[[#This Row],[매출]]-Sales[[#This Row],[원가]]</f>
        <v>2373000</v>
      </c>
    </row>
    <row r="43" customFormat="false" ht="15" hidden="false" customHeight="false" outlineLevel="0" collapsed="false">
      <c r="A43" s="3" t="n">
        <v>46082</v>
      </c>
      <c r="B43" s="2" t="s">
        <v>15</v>
      </c>
      <c r="C43" s="2" t="s">
        <v>9</v>
      </c>
      <c r="D43" s="4" t="n">
        <v>10716000</v>
      </c>
      <c r="E43" s="4" t="n">
        <v>7730000</v>
      </c>
      <c r="F43" s="4" t="n">
        <f aca="false">Sales[[#This Row],[매출]]-Sales[[#This Row],[원가]]</f>
        <v>2986000</v>
      </c>
    </row>
    <row r="44" customFormat="false" ht="15" hidden="false" customHeight="false" outlineLevel="0" collapsed="false">
      <c r="A44" s="3" t="n">
        <v>46082</v>
      </c>
      <c r="B44" s="2" t="s">
        <v>15</v>
      </c>
      <c r="C44" s="2" t="s">
        <v>11</v>
      </c>
      <c r="D44" s="4" t="n">
        <v>8979000</v>
      </c>
      <c r="E44" s="4" t="n">
        <v>6800000</v>
      </c>
      <c r="F44" s="4" t="n">
        <f aca="false">Sales[[#This Row],[매출]]-Sales[[#This Row],[원가]]</f>
        <v>2179000</v>
      </c>
    </row>
    <row r="45" customFormat="false" ht="15" hidden="false" customHeight="false" outlineLevel="0" collapsed="false">
      <c r="A45" s="3" t="n">
        <v>46082</v>
      </c>
      <c r="B45" s="2" t="s">
        <v>15</v>
      </c>
      <c r="C45" s="2" t="s">
        <v>12</v>
      </c>
      <c r="D45" s="4" t="n">
        <v>13970000</v>
      </c>
      <c r="E45" s="4" t="n">
        <v>10470000</v>
      </c>
      <c r="F45" s="4" t="n">
        <f aca="false">Sales[[#This Row],[매출]]-Sales[[#This Row],[원가]]</f>
        <v>3500000</v>
      </c>
    </row>
    <row r="46" customFormat="false" ht="15" hidden="false" customHeight="false" outlineLevel="0" collapsed="false">
      <c r="A46" s="3" t="n">
        <v>46082</v>
      </c>
      <c r="B46" s="2" t="s">
        <v>16</v>
      </c>
      <c r="C46" s="2" t="s">
        <v>9</v>
      </c>
      <c r="D46" s="4" t="n">
        <v>6476000</v>
      </c>
      <c r="E46" s="4" t="n">
        <v>4740000</v>
      </c>
      <c r="F46" s="4" t="n">
        <f aca="false">Sales[[#This Row],[매출]]-Sales[[#This Row],[원가]]</f>
        <v>1736000</v>
      </c>
    </row>
    <row r="47" customFormat="false" ht="15" hidden="false" customHeight="false" outlineLevel="0" collapsed="false">
      <c r="A47" s="3" t="n">
        <v>46082</v>
      </c>
      <c r="B47" s="2" t="s">
        <v>16</v>
      </c>
      <c r="C47" s="2" t="s">
        <v>11</v>
      </c>
      <c r="D47" s="4" t="n">
        <v>5568000</v>
      </c>
      <c r="E47" s="4" t="n">
        <v>4330000</v>
      </c>
      <c r="F47" s="4" t="n">
        <f aca="false">Sales[[#This Row],[매출]]-Sales[[#This Row],[원가]]</f>
        <v>1238000</v>
      </c>
    </row>
    <row r="48" customFormat="false" ht="15" hidden="false" customHeight="false" outlineLevel="0" collapsed="false">
      <c r="A48" s="3" t="n">
        <v>46082</v>
      </c>
      <c r="B48" s="2" t="s">
        <v>16</v>
      </c>
      <c r="C48" s="2" t="s">
        <v>12</v>
      </c>
      <c r="D48" s="4" t="n">
        <v>13223000</v>
      </c>
      <c r="E48" s="4" t="n">
        <v>10000000</v>
      </c>
      <c r="F48" s="4" t="n">
        <f aca="false">Sales[[#This Row],[매출]]-Sales[[#This Row],[원가]]</f>
        <v>3223000</v>
      </c>
    </row>
  </sheetData>
  <mergeCells count="1">
    <mergeCell ref="A1:F1"/>
  </mergeCells>
  <conditionalFormatting sqref="F4:F48">
    <cfRule type="cellIs" priority="2" operator="lessThan" aboveAverage="0" equalAverage="0" bottom="0" percent="0" rank="0" text="" dxfId="3">
      <formula>3000000</formula>
    </cfRule>
  </conditionalFormatting>
  <dataValidations count="1">
    <dataValidation allowBlank="true" errorStyle="stop" operator="between" showDropDown="false" showErrorMessage="false" showInputMessage="false" sqref="B4:B48" type="list">
      <formula1>"강남,서초,송파,분당,일산"</formula1>
      <formula2>0</formula2>
    </dataValidation>
  </dataValidations>
  <hyperlinks>
    <hyperlink ref="H4" r:id="rId2" display="사내 포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  <tableParts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2</v>
      </c>
      <c r="D1" s="2" t="s">
        <v>19</v>
      </c>
      <c r="E1" s="2" t="s">
        <v>20</v>
      </c>
    </row>
    <row r="2" customFormat="false" ht="15" hidden="false" customHeight="false" outlineLevel="0" collapsed="false">
      <c r="A2" s="5" t="s">
        <v>21</v>
      </c>
      <c r="B2" s="2" t="s">
        <v>22</v>
      </c>
      <c r="C2" s="2" t="s">
        <v>8</v>
      </c>
      <c r="D2" s="5" t="s">
        <v>23</v>
      </c>
      <c r="E2" s="6" t="n">
        <v>43467</v>
      </c>
    </row>
    <row r="3" customFormat="false" ht="15" hidden="false" customHeight="false" outlineLevel="0" collapsed="false">
      <c r="A3" s="5" t="s">
        <v>24</v>
      </c>
      <c r="B3" s="2" t="s">
        <v>25</v>
      </c>
      <c r="C3" s="2" t="s">
        <v>13</v>
      </c>
      <c r="D3" s="5" t="s">
        <v>26</v>
      </c>
      <c r="E3" s="6" t="n">
        <v>43863</v>
      </c>
    </row>
    <row r="4" customFormat="false" ht="15" hidden="false" customHeight="false" outlineLevel="0" collapsed="false">
      <c r="A4" s="5" t="s">
        <v>27</v>
      </c>
      <c r="B4" s="2" t="s">
        <v>28</v>
      </c>
      <c r="C4" s="2" t="s">
        <v>14</v>
      </c>
      <c r="D4" s="5" t="s">
        <v>29</v>
      </c>
      <c r="E4" s="6" t="n">
        <v>44257</v>
      </c>
    </row>
    <row r="5" customFormat="false" ht="15" hidden="false" customHeight="false" outlineLevel="0" collapsed="false">
      <c r="A5" s="5" t="s">
        <v>30</v>
      </c>
      <c r="B5" s="2" t="s">
        <v>31</v>
      </c>
      <c r="C5" s="2" t="s">
        <v>15</v>
      </c>
      <c r="D5" s="5" t="s">
        <v>32</v>
      </c>
      <c r="E5" s="6" t="n">
        <v>44653</v>
      </c>
    </row>
    <row r="6" customFormat="false" ht="15" hidden="false" customHeight="false" outlineLevel="0" collapsed="false">
      <c r="A6" s="5" t="s">
        <v>33</v>
      </c>
      <c r="B6" s="2" t="s">
        <v>34</v>
      </c>
      <c r="C6" s="2" t="s">
        <v>16</v>
      </c>
      <c r="D6" s="5" t="s">
        <v>35</v>
      </c>
      <c r="E6" s="6" t="n">
        <v>45048</v>
      </c>
    </row>
    <row r="7" customFormat="false" ht="15" hidden="false" customHeight="false" outlineLevel="0" collapsed="false">
      <c r="A7" s="5" t="s">
        <v>36</v>
      </c>
      <c r="B7" s="2" t="s">
        <v>37</v>
      </c>
      <c r="C7" s="2" t="s">
        <v>8</v>
      </c>
      <c r="D7" s="5" t="s">
        <v>38</v>
      </c>
      <c r="E7" s="6" t="n">
        <v>45445</v>
      </c>
    </row>
    <row r="8" customFormat="false" ht="15" hidden="false" customHeight="false" outlineLevel="0" collapsed="false">
      <c r="A8" s="5" t="s">
        <v>39</v>
      </c>
      <c r="B8" s="2" t="s">
        <v>40</v>
      </c>
      <c r="C8" s="2" t="s">
        <v>13</v>
      </c>
      <c r="D8" s="5" t="s">
        <v>41</v>
      </c>
      <c r="E8" s="6" t="n">
        <v>43648</v>
      </c>
    </row>
    <row r="9" customFormat="false" ht="15" hidden="false" customHeight="false" outlineLevel="0" collapsed="false">
      <c r="A9" s="5" t="s">
        <v>42</v>
      </c>
      <c r="B9" s="2" t="s">
        <v>43</v>
      </c>
      <c r="C9" s="2" t="s">
        <v>14</v>
      </c>
      <c r="D9" s="5" t="s">
        <v>44</v>
      </c>
      <c r="E9" s="6" t="n">
        <v>44045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45</v>
      </c>
    </row>
    <row r="2" customFormat="false" ht="15" hidden="false" customHeight="false" outlineLevel="0" collapsed="false">
      <c r="A2" s="2" t="s">
        <v>8</v>
      </c>
      <c r="B2" s="4" t="n">
        <f aca="false">SUMIFS(Sales[매출],Sales[지점],A2)</f>
        <v>90012000</v>
      </c>
    </row>
    <row r="3" customFormat="false" ht="15" hidden="false" customHeight="false" outlineLevel="0" collapsed="false">
      <c r="A3" s="2" t="s">
        <v>13</v>
      </c>
      <c r="B3" s="4" t="n">
        <f aca="false">SUMIFS(Sales[매출],Sales[지점],A3)</f>
        <v>111527000</v>
      </c>
    </row>
    <row r="4" customFormat="false" ht="15" hidden="false" customHeight="false" outlineLevel="0" collapsed="false">
      <c r="A4" s="2" t="s">
        <v>14</v>
      </c>
      <c r="B4" s="4" t="n">
        <f aca="false">SUMIFS(Sales[매출],Sales[지점],A4)</f>
        <v>108272000</v>
      </c>
    </row>
    <row r="5" customFormat="false" ht="15" hidden="false" customHeight="false" outlineLevel="0" collapsed="false">
      <c r="A5" s="2" t="s">
        <v>15</v>
      </c>
      <c r="B5" s="4" t="n">
        <f aca="false">SUMIFS(Sales[매출],Sales[지점],A5)</f>
        <v>104836000</v>
      </c>
    </row>
    <row r="6" customFormat="false" ht="15" hidden="false" customHeight="false" outlineLevel="0" collapsed="false">
      <c r="A6" s="2" t="s">
        <v>16</v>
      </c>
      <c r="B6" s="4" t="n">
        <f aca="false">SUMIFS(Sales[매출],Sales[지점],A6)</f>
        <v>92774000</v>
      </c>
    </row>
    <row r="8" customFormat="false" ht="15" hidden="false" customHeight="false" outlineLevel="0" collapsed="false">
      <c r="A8" s="2" t="s">
        <v>46</v>
      </c>
      <c r="B8" s="4" t="n">
        <f aca="false">SUM(B2:B6)</f>
        <v>507421000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2026-09-29T07:06:30Z</dcterms:created>
  <dc:creator>openpyxl</dc:creator>
  <dc:description/>
  <dc:language>en-US</dc:language>
  <cp:lastModifiedBy/>
  <dcterms:modified xsi:type="dcterms:W3CDTF">2026-09-29T07:06:30Z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