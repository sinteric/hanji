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  <sheet xmlns:r="http://schemas.openxmlformats.org/officeDocument/2006/relationships" name="담당자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<sst xmlns="http://schemas.openxmlformats.org/spreadsheetml/2006/main" count="2" uniqueCount="2">
  <si>
    <t>강남</t>
  </si>
  <si>
    <t>가전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</si>
</sst>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3">
    <font>
      <name val="Calibri"/>
      <family val="2"/>
      <color theme="1"/>
      <sz val="11"/>
      <scheme val="minor"/>
    </font>
    <font>
      <b val="1"/>
      <sz val="14"/>
    </font>
    <font>
      <b/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2" fillId="2" borderId="1" pivotButton="0" quotePrefix="0" xfId="0" applyFont="1" applyFill="1" applyBorder="1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지점별 매출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'매출'!D3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'매출'!$B$4:$B$18</f>
            </numRef>
          </cat>
          <val>
            <numRef>
              <f>'매출'!$D$4:$D$18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작성자</author>
  </authors>
  <commentList>
    <comment ref="A3" authorId="0" shapeId="0">
      <text>
        <t>월은 매월 1일로 적습니다.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3:F49" headerRowCount="1">
  <tableColumns count="6">
    <tableColumn id="1" name="월"/>
    <tableColumn id="2" name="지점"/>
    <tableColumn id="3" name="제품군"/>
    <tableColumn id="4" name="매출"/>
    <tableColumn id="5" name="원가"/>
    <tableColumn id="6" name="이익">
      <calculatedColumnFormula>Sales[[#This Row],[매출]]-Sales[[#This Row],[원가]]</calculatedColumnFormula>
    </tableColumn>
  </tableColumns>
  <tableStyleInfo name="TableStyleMedium2" showRowStripes="1"/>
</table>
</file>

<file path=xl/tables/table2.xml><?xml version="1.0" encoding="utf-8"?>
<table xmlns="http://schemas.openxmlformats.org/spreadsheetml/2006/main" id="2" name="Staff" displayName="Staff" ref="A1:E9" headerRowCount="1">
  <autoFilter ref="A1:E9"/>
  <tableColumns count="5">
    <tableColumn id="1" name="사번"/>
    <tableColumn id="2" name="이름"/>
    <tableColumn id="3" name="지점"/>
    <tableColumn id="4" name="휴대전화"/>
    <tableColumn id="5" name="입사일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sales" TargetMode="External" Id="rId1"/><Relationship Type="http://schemas.openxmlformats.org/officeDocument/2006/relationships/drawing" Target="/xl/drawings/drawing1.xml" Id="rId2"/><Relationship Type="http://schemas.openxmlformats.org/officeDocument/2006/relationships/table" Target="/xl/tables/table1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 영업실적 (단위: 원)</t>
        </is>
      </c>
    </row>
    <row r="3">
      <c r="A3" t="inlineStr" s="6">
        <is>
          <t>월</t>
        </is>
      </c>
      <c r="B3" t="inlineStr" s="6">
        <is>
          <t>지점</t>
        </is>
      </c>
      <c r="C3" t="inlineStr" s="6">
        <is>
          <t>제품군</t>
        </is>
      </c>
      <c r="D3" t="inlineStr" s="6">
        <is>
          <t>매출</t>
        </is>
      </c>
      <c r="E3" t="inlineStr" s="6">
        <is>
          <t>원가</t>
        </is>
      </c>
      <c r="F3" t="inlineStr" s="6">
        <is>
          <t>이익</t>
        </is>
      </c>
      <c r="H3" t="inlineStr">
        <is>
          <t>출처</t>
        </is>
      </c>
    </row>
    <row r="4">
      <c r="A4" s="2" t="n">
        <v>46023</v>
      </c>
      <c r="B4" t="inlineStr">
        <is>
          <t>강남</t>
        </is>
      </c>
      <c r="C4" t="inlineStr">
        <is>
          <t>가전</t>
        </is>
      </c>
      <c r="D4" s="3" t="n">
        <v>10269000</v>
      </c>
      <c r="E4" s="3" t="n">
        <v>7410000</v>
      </c>
      <c r="F4" s="3">
        <f>Sales[[#This Row],[매출]]-Sales[[#This Row],[원가]]</f>
        <v/>
      </c>
      <c r="H4" t="inlineStr">
        <is>
          <t>사내 포털</t>
        </is>
      </c>
    </row>
    <row r="5">
      <c r="A5" s="2" t="n">
        <v>46023</v>
      </c>
      <c r="B5" t="inlineStr">
        <is>
          <t>강남</t>
        </is>
      </c>
      <c r="C5" t="inlineStr">
        <is>
          <t>모바일</t>
        </is>
      </c>
      <c r="D5" s="3">
        <v>18420000</v>
      </c>
      <c r="E5" s="3" t="n">
        <v>6480000</v>
      </c>
      <c r="F5" s="3">
        <f>Sales[[#This Row],[매출]]-Sales[[#This Row],[원가]]</f>
        <v>11940000</v>
      </c>
    </row>
    <row r="6">
      <c r="A6" s="2" t="n">
        <v>46023</v>
      </c>
      <c r="B6" t="inlineStr">
        <is>
          <t>강남</t>
        </is>
      </c>
      <c r="C6" t="inlineStr">
        <is>
          <t>생활</t>
        </is>
      </c>
      <c r="D6" s="3" t="n">
        <v>6408000</v>
      </c>
      <c r="E6" s="3" t="n">
        <v>4560000</v>
      </c>
      <c r="F6" s="3">
        <f>Sales[[#This Row],[매출]]-Sales[[#This Row],[원가]]</f>
        <v/>
      </c>
    </row>
    <row r="7">
      <c r="A7" s="2" t="n">
        <v>46023</v>
      </c>
      <c r="B7" t="inlineStr">
        <is>
          <t>서초</t>
        </is>
      </c>
      <c r="C7" t="inlineStr">
        <is>
          <t>가전</t>
        </is>
      </c>
      <c r="D7" s="3" t="n">
        <v>13825000</v>
      </c>
      <c r="E7" s="3" t="n">
        <v>9730000</v>
      </c>
      <c r="F7" s="3">
        <f>Sales[[#This Row],[매출]]-Sales[[#This Row],[원가]]</f>
        <v/>
      </c>
    </row>
    <row r="8">
      <c r="A8" s="2" t="n">
        <v>46023</v>
      </c>
      <c r="B8" t="inlineStr">
        <is>
          <t>서초</t>
        </is>
      </c>
      <c r="C8" t="inlineStr">
        <is>
          <t>모바일</t>
        </is>
      </c>
      <c r="D8" s="3" t="n">
        <v>17393000</v>
      </c>
      <c r="E8" s="3" t="n">
        <v>11620000</v>
      </c>
      <c r="F8" s="3">
        <f>Sales[[#This Row],[매출]]-Sales[[#This Row],[원가]]</f>
        <v/>
      </c>
    </row>
    <row r="9">
      <c r="A9" s="2" t="n">
        <v>46023</v>
      </c>
      <c r="B9" t="inlineStr">
        <is>
          <t>서초</t>
        </is>
      </c>
      <c r="C9" t="inlineStr">
        <is>
          <t>생활</t>
        </is>
      </c>
      <c r="D9" s="3" t="n">
        <v>4149000</v>
      </c>
      <c r="E9" s="3" t="n">
        <v>2890000</v>
      </c>
      <c r="F9" s="3">
        <f>Sales[[#This Row],[매출]]-Sales[[#This Row],[원가]]</f>
        <v/>
      </c>
    </row>
    <row r="10">
      <c r="A10" s="2" t="n">
        <v>46023</v>
      </c>
      <c r="B10" t="inlineStr">
        <is>
          <t>송파</t>
        </is>
      </c>
      <c r="C10" t="inlineStr">
        <is>
          <t>가전</t>
        </is>
      </c>
      <c r="D10" s="3" t="n">
        <v>13552000</v>
      </c>
      <c r="E10" s="3" t="n">
        <v>9900000</v>
      </c>
      <c r="F10" s="3">
        <f>Sales[[#This Row],[매출]]-Sales[[#This Row],[원가]]</f>
        <v/>
      </c>
    </row>
    <row r="11">
      <c r="A11" s="2" t="n">
        <v>46023</v>
      </c>
      <c r="B11" t="inlineStr">
        <is>
          <t>송파</t>
        </is>
      </c>
      <c r="C11" t="inlineStr">
        <is>
          <t>모바일</t>
        </is>
      </c>
      <c r="D11" s="3" t="n">
        <v>18665000</v>
      </c>
      <c r="E11" s="3" t="n">
        <v>13340000</v>
      </c>
      <c r="F11" s="3">
        <f>Sales[[#This Row],[매출]]-Sales[[#This Row],[원가]]</f>
        <v/>
      </c>
    </row>
    <row r="12">
      <c r="A12" s="2" t="n">
        <v>46023</v>
      </c>
      <c r="B12" t="inlineStr">
        <is>
          <t>송파</t>
        </is>
      </c>
      <c r="C12" t="inlineStr">
        <is>
          <t>생활</t>
        </is>
      </c>
      <c r="D12" s="3" t="n">
        <v>12200000</v>
      </c>
      <c r="E12" s="3" t="n">
        <v>8700000</v>
      </c>
      <c r="F12" s="3">
        <f>Sales[[#This Row],[매출]]-Sales[[#This Row],[원가]]</f>
        <v/>
      </c>
    </row>
    <row r="13">
      <c r="A13" s="2" t="n">
        <v>46023</v>
      </c>
      <c r="B13" t="inlineStr">
        <is>
          <t>분당</t>
        </is>
      </c>
      <c r="C13" t="inlineStr">
        <is>
          <t>가전</t>
        </is>
      </c>
      <c r="D13" s="3" t="n">
        <v>6168000</v>
      </c>
      <c r="E13" s="3" t="n">
        <v>4750000</v>
      </c>
      <c r="F13" s="3">
        <f>Sales[[#This Row],[매출]]-Sales[[#This Row],[원가]]</f>
        <v/>
      </c>
    </row>
    <row r="14">
      <c r="A14" s="2" t="n">
        <v>46023</v>
      </c>
      <c r="B14" t="inlineStr">
        <is>
          <t>분당</t>
        </is>
      </c>
      <c r="C14" t="inlineStr">
        <is>
          <t>모바일</t>
        </is>
      </c>
      <c r="D14" s="3" t="n">
        <v>15428000</v>
      </c>
      <c r="E14" s="3" t="n">
        <v>11610000</v>
      </c>
      <c r="F14" s="3">
        <f>Sales[[#This Row],[매출]]-Sales[[#This Row],[원가]]</f>
        <v/>
      </c>
    </row>
    <row r="15">
      <c r="A15" s="2" t="n">
        <v>46023</v>
      </c>
      <c r="B15" t="inlineStr">
        <is>
          <t>분당</t>
        </is>
      </c>
      <c r="C15" t="inlineStr">
        <is>
          <t>생활</t>
        </is>
      </c>
      <c r="D15" s="3" t="n">
        <v>7045000</v>
      </c>
      <c r="E15" s="3" t="n">
        <v>5060000</v>
      </c>
      <c r="F15" s="3">
        <f>Sales[[#This Row],[매출]]-Sales[[#This Row],[원가]]</f>
        <v/>
      </c>
    </row>
    <row r="16">
      <c r="A16" s="2" t="n">
        <v>46023</v>
      </c>
      <c r="B16" t="inlineStr">
        <is>
          <t>일산</t>
        </is>
      </c>
      <c r="C16" t="inlineStr">
        <is>
          <t>가전</t>
        </is>
      </c>
      <c r="D16" s="3" t="n">
        <v>6051000</v>
      </c>
      <c r="E16" s="3" t="n">
        <v>4120000</v>
      </c>
      <c r="F16" s="3">
        <f>Sales[[#This Row],[매출]]-Sales[[#This Row],[원가]]</f>
        <v/>
      </c>
    </row>
    <row r="17">
      <c r="A17" s="2" t="n">
        <v>46023</v>
      </c>
      <c r="B17" t="inlineStr">
        <is>
          <t>일산</t>
        </is>
      </c>
      <c r="C17" t="inlineStr">
        <is>
          <t>모바일</t>
        </is>
      </c>
      <c r="D17" s="3" t="n">
        <v>14419000</v>
      </c>
      <c r="E17" s="3" t="n">
        <v>10060000</v>
      </c>
      <c r="F17" s="3">
        <f>Sales[[#This Row],[매출]]-Sales[[#This Row],[원가]]</f>
        <v/>
      </c>
    </row>
    <row r="18">
      <c r="A18" s="2" t="n">
        <v>46023</v>
      </c>
      <c r="B18" t="inlineStr">
        <is>
          <t>일산</t>
        </is>
      </c>
      <c r="C18" t="inlineStr">
        <is>
          <t>생활</t>
        </is>
      </c>
      <c r="D18" s="3" t="n">
        <v>18843000</v>
      </c>
      <c r="E18" s="3" t="n">
        <v>12760000</v>
      </c>
      <c r="F18" s="3">
        <f>Sales[[#This Row],[매출]]-Sales[[#This Row],[원가]]</f>
        <v/>
      </c>
    </row>
    <row r="19">
      <c r="A19" s="2" t="n">
        <v>46054</v>
      </c>
      <c r="B19" t="inlineStr">
        <is>
          <t>강남</t>
        </is>
      </c>
      <c r="C19" t="inlineStr">
        <is>
          <t>가전</t>
        </is>
      </c>
      <c r="D19" s="3" t="n">
        <v>4146000</v>
      </c>
      <c r="E19" s="3" t="n">
        <v>2800000</v>
      </c>
      <c r="F19" s="3">
        <f>Sales[[#This Row],[매출]]-Sales[[#This Row],[원가]]</f>
        <v/>
      </c>
    </row>
    <row r="20">
      <c r="A20" s="2" t="n">
        <v>46054</v>
      </c>
      <c r="B20" t="inlineStr">
        <is>
          <t>강남</t>
        </is>
      </c>
      <c r="C20" t="inlineStr">
        <is>
          <t>모바일</t>
        </is>
      </c>
      <c r="D20" s="3" t="n">
        <v>17364000</v>
      </c>
      <c r="E20" s="3" t="n">
        <v>12590000</v>
      </c>
      <c r="F20" s="3">
        <f>Sales[[#This Row],[매출]]-Sales[[#This Row],[원가]]</f>
        <v/>
      </c>
    </row>
    <row r="21">
      <c r="A21" s="2" t="n">
        <v>46054</v>
      </c>
      <c r="B21" t="inlineStr">
        <is>
          <t>강남</t>
        </is>
      </c>
      <c r="C21" t="inlineStr">
        <is>
          <t>생활</t>
        </is>
      </c>
      <c r="D21" s="3" t="n">
        <v>17694000</v>
      </c>
      <c r="E21" s="3" t="n">
        <v>12640000</v>
      </c>
      <c r="F21" s="3">
        <f>Sales[[#This Row],[매출]]-Sales[[#This Row],[원가]]</f>
        <v/>
      </c>
    </row>
    <row r="22">
      <c r="A22" s="2" t="n">
        <v>46054</v>
      </c>
      <c r="B22" t="inlineStr">
        <is>
          <t>서초</t>
        </is>
      </c>
      <c r="C22" t="inlineStr">
        <is>
          <t>가전</t>
        </is>
      </c>
      <c r="D22" s="3" t="n">
        <v>15530000</v>
      </c>
      <c r="E22" s="3" t="n">
        <v>11500000</v>
      </c>
      <c r="F22" s="3">
        <f>Sales[[#This Row],[매출]]-Sales[[#This Row],[원가]]</f>
        <v/>
      </c>
    </row>
    <row r="23">
      <c r="A23" s="2" t="n">
        <v>46054</v>
      </c>
      <c r="B23" t="inlineStr">
        <is>
          <t>서초</t>
        </is>
      </c>
      <c r="C23" t="inlineStr">
        <is>
          <t>모바일</t>
        </is>
      </c>
      <c r="D23" s="3" t="n">
        <v>16148000</v>
      </c>
      <c r="E23" s="3" t="n">
        <v>11220000</v>
      </c>
      <c r="F23" s="3">
        <f>Sales[[#This Row],[매출]]-Sales[[#This Row],[원가]]</f>
        <v/>
      </c>
    </row>
    <row r="24">
      <c r="A24" s="2" t="n">
        <v>46054</v>
      </c>
      <c r="B24" t="inlineStr">
        <is>
          <t>서초</t>
        </is>
      </c>
      <c r="C24" t="inlineStr">
        <is>
          <t>생활</t>
        </is>
      </c>
      <c r="D24" s="3" t="n">
        <v>11090000</v>
      </c>
      <c r="E24" s="3" t="n">
        <v>7900000</v>
      </c>
      <c r="F24" s="3">
        <f>Sales[[#This Row],[매출]]-Sales[[#This Row],[원가]]</f>
        <v/>
      </c>
    </row>
    <row r="25">
      <c r="A25" s="2" t="n">
        <v>46054</v>
      </c>
      <c r="B25" t="inlineStr">
        <is>
          <t>송파</t>
        </is>
      </c>
      <c r="C25" t="inlineStr">
        <is>
          <t>가전</t>
        </is>
      </c>
      <c r="D25" s="3" t="n">
        <v>14918000</v>
      </c>
      <c r="E25" s="3" t="n">
        <v>9920000</v>
      </c>
      <c r="F25" s="3">
        <f>Sales[[#This Row],[매출]]-Sales[[#This Row],[원가]]</f>
        <v/>
      </c>
    </row>
    <row r="26">
      <c r="A26" s="2" t="n">
        <v>46054</v>
      </c>
      <c r="B26" t="inlineStr">
        <is>
          <t>송파</t>
        </is>
      </c>
      <c r="C26" t="inlineStr">
        <is>
          <t>모바일</t>
        </is>
      </c>
      <c r="D26" s="3" t="n">
        <v>10137000</v>
      </c>
      <c r="E26" s="3" t="n">
        <v>6710000</v>
      </c>
      <c r="F26" s="3">
        <f>Sales[[#This Row],[매출]]-Sales[[#This Row],[원가]]</f>
        <v/>
      </c>
    </row>
    <row r="27">
      <c r="A27" s="2" t="n">
        <v>46054</v>
      </c>
      <c r="B27" t="inlineStr">
        <is>
          <t>송파</t>
        </is>
      </c>
      <c r="C27" t="inlineStr">
        <is>
          <t>생활</t>
        </is>
      </c>
      <c r="D27" s="3" t="n">
        <v>8213000</v>
      </c>
      <c r="E27" s="3" t="n">
        <v>6160000</v>
      </c>
      <c r="F27" s="3">
        <f>Sales[[#This Row],[매출]]-Sales[[#This Row],[원가]]</f>
        <v/>
      </c>
    </row>
    <row r="28">
      <c r="A28" s="2" t="n">
        <v>46054</v>
      </c>
      <c r="B28" t="inlineStr">
        <is>
          <t>분당</t>
        </is>
      </c>
      <c r="C28" t="inlineStr">
        <is>
          <t>가전</t>
        </is>
      </c>
      <c r="D28" s="3" t="n">
        <v>18411000</v>
      </c>
      <c r="E28" s="3" t="n">
        <v>13900000</v>
      </c>
      <c r="F28" s="3">
        <f>Sales[[#This Row],[매출]]-Sales[[#This Row],[원가]]</f>
        <v/>
      </c>
    </row>
    <row r="29">
      <c r="A29" s="2" t="n">
        <v>46054</v>
      </c>
      <c r="B29" t="inlineStr">
        <is>
          <t>분당</t>
        </is>
      </c>
      <c r="C29" t="inlineStr">
        <is>
          <t>모바일</t>
        </is>
      </c>
      <c r="D29" s="3" t="n">
        <v>7995000</v>
      </c>
      <c r="E29" s="3" t="n">
        <v>5590000</v>
      </c>
      <c r="F29" s="3">
        <f>Sales[[#This Row],[매출]]-Sales[[#This Row],[원가]]</f>
        <v/>
      </c>
    </row>
    <row r="30">
      <c r="A30" s="2" t="n">
        <v>46054</v>
      </c>
      <c r="B30" t="inlineStr">
        <is>
          <t>분당</t>
        </is>
      </c>
      <c r="C30" t="inlineStr">
        <is>
          <t>생활</t>
        </is>
      </c>
      <c r="D30" s="3" t="n">
        <v>16124000</v>
      </c>
      <c r="E30" s="3" t="n">
        <v>12180000</v>
      </c>
      <c r="F30" s="3">
        <f>Sales[[#This Row],[매출]]-Sales[[#This Row],[원가]]</f>
        <v/>
      </c>
    </row>
    <row r="31">
      <c r="A31" s="2" t="n">
        <v>46054</v>
      </c>
      <c r="B31" t="inlineStr">
        <is>
          <t>일산</t>
        </is>
      </c>
      <c r="C31" t="inlineStr">
        <is>
          <t>가전</t>
        </is>
      </c>
      <c r="D31" s="3" t="n">
        <v>12007000</v>
      </c>
      <c r="E31" s="3" t="n">
        <v>8910000</v>
      </c>
      <c r="F31" s="3">
        <f>Sales[[#This Row],[매출]]-Sales[[#This Row],[원가]]</f>
        <v/>
      </c>
    </row>
    <row r="32">
      <c r="A32" s="2" t="n">
        <v>46054</v>
      </c>
      <c r="B32" t="inlineStr">
        <is>
          <t>일산</t>
        </is>
      </c>
      <c r="C32" t="inlineStr">
        <is>
          <t>모바일</t>
        </is>
      </c>
      <c r="D32" s="3" t="n">
        <v>11955000</v>
      </c>
      <c r="E32" s="3" t="n">
        <v>8170000</v>
      </c>
      <c r="F32" s="3">
        <f>Sales[[#This Row],[매출]]-Sales[[#This Row],[원가]]</f>
        <v/>
      </c>
    </row>
    <row r="33">
      <c r="A33" s="2" t="n">
        <v>46054</v>
      </c>
      <c r="B33" t="inlineStr">
        <is>
          <t>일산</t>
        </is>
      </c>
      <c r="C33" t="inlineStr">
        <is>
          <t>생활</t>
        </is>
      </c>
      <c r="D33" s="3" t="n">
        <v>4232000</v>
      </c>
      <c r="E33" s="3" t="n">
        <v>3280000</v>
      </c>
      <c r="F33" s="3">
        <f>Sales[[#This Row],[매출]]-Sales[[#This Row],[원가]]</f>
        <v/>
      </c>
    </row>
    <row r="34">
      <c r="A34" s="2" t="n">
        <v>46082</v>
      </c>
      <c r="B34" t="inlineStr">
        <is>
          <t>강남</t>
        </is>
      </c>
      <c r="C34" t="inlineStr">
        <is>
          <t>가전</t>
        </is>
      </c>
      <c r="D34" s="3" t="n">
        <v>6659000</v>
      </c>
      <c r="E34" s="3" t="n">
        <v>4500000</v>
      </c>
      <c r="F34" s="3">
        <f>Sales[[#This Row],[매출]]-Sales[[#This Row],[원가]]</f>
        <v/>
      </c>
    </row>
    <row r="35">
      <c r="A35" s="2" t="n">
        <v>46082</v>
      </c>
      <c r="B35" t="inlineStr">
        <is>
          <t>강남</t>
        </is>
      </c>
      <c r="C35" t="inlineStr">
        <is>
          <t>모바일</t>
        </is>
      </c>
      <c r="D35" s="3" t="n">
        <v>13223000</v>
      </c>
      <c r="E35" s="3" t="n">
        <v>10070000</v>
      </c>
      <c r="F35" s="3">
        <f>Sales[[#This Row],[매출]]-Sales[[#This Row],[원가]]</f>
        <v/>
      </c>
    </row>
    <row r="36">
      <c r="A36" s="2" t="n">
        <v>46082</v>
      </c>
      <c r="B36" t="inlineStr">
        <is>
          <t>강남</t>
        </is>
      </c>
      <c r="C36" t="inlineStr">
        <is>
          <t>생활</t>
        </is>
      </c>
      <c r="D36" s="3" t="n">
        <v>5488000</v>
      </c>
      <c r="E36" s="3" t="n">
        <v>3700000</v>
      </c>
      <c r="F36" s="3">
        <f>Sales[[#This Row],[매출]]-Sales[[#This Row],[원가]]</f>
        <v/>
      </c>
    </row>
    <row r="37">
      <c r="A37" s="2" t="n">
        <v>46082</v>
      </c>
      <c r="B37" t="inlineStr">
        <is>
          <t>서초</t>
        </is>
      </c>
      <c r="C37" t="inlineStr">
        <is>
          <t>가전</t>
        </is>
      </c>
      <c r="D37" s="3" t="n">
        <v>18865000</v>
      </c>
      <c r="E37" s="3" t="n">
        <v>13450000</v>
      </c>
      <c r="F37" s="3">
        <f>Sales[[#This Row],[매출]]-Sales[[#This Row],[원가]]</f>
        <v/>
      </c>
    </row>
    <row r="38">
      <c r="A38" s="2" t="n">
        <v>46082</v>
      </c>
      <c r="B38" t="inlineStr">
        <is>
          <t>서초</t>
        </is>
      </c>
      <c r="C38" t="inlineStr">
        <is>
          <t>모바일</t>
        </is>
      </c>
      <c r="D38" s="3" t="n">
        <v>4979000</v>
      </c>
      <c r="E38" s="3" t="n">
        <v>3380000</v>
      </c>
      <c r="F38" s="3">
        <f>Sales[[#This Row],[매출]]-Sales[[#This Row],[원가]]</f>
        <v/>
      </c>
    </row>
    <row r="39">
      <c r="A39" s="2" t="n">
        <v>46082</v>
      </c>
      <c r="B39" t="inlineStr">
        <is>
          <t>서초</t>
        </is>
      </c>
      <c r="C39" t="inlineStr">
        <is>
          <t>생활</t>
        </is>
      </c>
      <c r="D39" s="3" t="n">
        <v>9548000</v>
      </c>
      <c r="E39" s="3" t="n">
        <v>7440000</v>
      </c>
      <c r="F39" s="3">
        <f>Sales[[#This Row],[매출]]-Sales[[#This Row],[원가]]</f>
        <v/>
      </c>
    </row>
    <row r="40">
      <c r="A40" s="2" t="n">
        <v>46082</v>
      </c>
      <c r="B40" t="inlineStr">
        <is>
          <t>송파</t>
        </is>
      </c>
      <c r="C40" t="inlineStr">
        <is>
          <t>가전</t>
        </is>
      </c>
      <c r="D40" s="3" t="n">
        <v>14432000</v>
      </c>
      <c r="E40" s="3" t="n">
        <v>11100000</v>
      </c>
      <c r="F40" s="3">
        <f>Sales[[#This Row],[매출]]-Sales[[#This Row],[원가]]</f>
        <v/>
      </c>
    </row>
    <row r="41">
      <c r="A41" s="2" t="n">
        <v>46082</v>
      </c>
      <c r="B41" t="inlineStr">
        <is>
          <t>송파</t>
        </is>
      </c>
      <c r="C41" t="inlineStr">
        <is>
          <t>모바일</t>
        </is>
      </c>
      <c r="D41" s="3" t="n">
        <v>7202000</v>
      </c>
      <c r="E41" s="3" t="n">
        <v>4890000</v>
      </c>
      <c r="F41" s="3">
        <f>Sales[[#This Row],[매출]]-Sales[[#This Row],[원가]]</f>
        <v/>
      </c>
    </row>
    <row r="42">
      <c r="A42" s="2" t="n">
        <v>46082</v>
      </c>
      <c r="B42" t="inlineStr">
        <is>
          <t>송파</t>
        </is>
      </c>
      <c r="C42" t="inlineStr">
        <is>
          <t>생활</t>
        </is>
      </c>
      <c r="D42" s="3" t="n">
        <v>8953000</v>
      </c>
      <c r="E42" s="3" t="n">
        <v>6580000</v>
      </c>
      <c r="F42" s="3">
        <f>Sales[[#This Row],[매출]]-Sales[[#This Row],[원가]]</f>
        <v/>
      </c>
    </row>
    <row r="43">
      <c r="A43" s="2" t="n">
        <v>46082</v>
      </c>
      <c r="B43" t="inlineStr">
        <is>
          <t>분당</t>
        </is>
      </c>
      <c r="C43" t="inlineStr">
        <is>
          <t>가전</t>
        </is>
      </c>
      <c r="D43" s="3" t="n">
        <v>10716000</v>
      </c>
      <c r="E43" s="3" t="n">
        <v>7730000</v>
      </c>
      <c r="F43" s="3">
        <f>Sales[[#This Row],[매출]]-Sales[[#This Row],[원가]]</f>
        <v/>
      </c>
    </row>
    <row r="44">
      <c r="A44" s="2" t="n">
        <v>46082</v>
      </c>
      <c r="B44" t="inlineStr">
        <is>
          <t>분당</t>
        </is>
      </c>
      <c r="C44" t="inlineStr">
        <is>
          <t>모바일</t>
        </is>
      </c>
      <c r="D44" s="3" t="n">
        <v>8979000</v>
      </c>
      <c r="E44" s="3" t="n">
        <v>6800000</v>
      </c>
      <c r="F44" s="3">
        <f>Sales[[#This Row],[매출]]-Sales[[#This Row],[원가]]</f>
        <v/>
      </c>
    </row>
    <row r="45">
      <c r="A45" s="2" t="n">
        <v>46082</v>
      </c>
      <c r="B45" t="inlineStr">
        <is>
          <t>분당</t>
        </is>
      </c>
      <c r="C45" t="inlineStr">
        <is>
          <t>생활</t>
        </is>
      </c>
      <c r="D45" s="3" t="n">
        <v>13970000</v>
      </c>
      <c r="E45" s="3" t="n">
        <v>10470000</v>
      </c>
      <c r="F45" s="3">
        <f>Sales[[#This Row],[매출]]-Sales[[#This Row],[원가]]</f>
        <v/>
      </c>
    </row>
    <row r="46">
      <c r="A46" s="2" t="n">
        <v>46082</v>
      </c>
      <c r="B46" t="inlineStr">
        <is>
          <t>일산</t>
        </is>
      </c>
      <c r="C46" t="inlineStr">
        <is>
          <t>가전</t>
        </is>
      </c>
      <c r="D46" s="3" t="n">
        <v>6476000</v>
      </c>
      <c r="E46" s="3" t="n">
        <v>4740000</v>
      </c>
      <c r="F46" s="3">
        <f>Sales[[#This Row],[매출]]-Sales[[#This Row],[원가]]</f>
        <v/>
      </c>
    </row>
    <row r="47">
      <c r="A47" s="2" t="n">
        <v>46082</v>
      </c>
      <c r="B47" t="inlineStr">
        <is>
          <t>일산</t>
        </is>
      </c>
      <c r="C47" t="inlineStr">
        <is>
          <t>모바일</t>
        </is>
      </c>
      <c r="D47" s="3" t="n">
        <v>5568000</v>
      </c>
      <c r="E47" s="3" t="n">
        <v>4330000</v>
      </c>
      <c r="F47" s="3">
        <f>Sales[[#This Row],[매출]]-Sales[[#This Row],[원가]]</f>
        <v/>
      </c>
    </row>
    <row r="48">
      <c r="A48" s="2" t="n">
        <v>46082</v>
      </c>
      <c r="B48" t="inlineStr">
        <is>
          <t>일산</t>
        </is>
      </c>
      <c r="C48" t="inlineStr">
        <is>
          <t>생활</t>
        </is>
      </c>
      <c r="D48" s="3" t="n">
        <v>13223000</v>
      </c>
      <c r="E48" s="3" t="n">
        <v>10000000</v>
      </c>
      <c r="F48" s="3">
        <f>Sales[[#This Row],[매출]]-Sales[[#This Row],[원가]]</f>
        <v/>
      </c>
    </row>
    <row r="49">
      <c r="A49" s="2">
        <v>46113</v>
      </c>
      <c r="B49" t="s">
        <v>0</v>
      </c>
      <c r="C49" t="s">
        <v>1</v>
      </c>
      <c r="D49" s="3">
        <v>12400000</v>
      </c>
      <c r="E49" s="3">
        <v>9000000</v>
      </c>
      <c r="F49" s="3">
        <f>Sales[[#This Row],[매출]]-Sales[[#This Row],[원가]]</f>
        <v>3400000</v>
      </c>
    </row>
  </sheetData>
  <mergeCells count="1">
    <mergeCell ref="A1:F1"/>
  </mergeCells>
  <conditionalFormatting sqref="F4:F49">
    <cfRule type="cellIs" priority="1" operator="lessThan" dxfId="0">
      <formula>3000000</formula>
    </cfRule>
  </conditionalFormatting>
  <dataValidations count="1">
    <dataValidation sqref="B4:B49" showDropDown="0" showInputMessage="0" showErrorMessage="0" allowBlank="1" type="list">
      <formula1>"강남,서초,송파,분당,일산"</formula1>
    </dataValidation>
  </dataValidations>
  <hyperlinks>
    <hyperlink xmlns:r="http://schemas.openxmlformats.org/officeDocument/2006/relationships" ref="H4" r:id="rId1"/>
  </hyperlinks>
  <pageMargins left="0.75" right="0.75" top="1" bottom="1" header="0.5" footer="0.5"/>
  <drawing xmlns:r="http://schemas.openxmlformats.org/officeDocument/2006/relationships" r:id="rId2"/>
  <legacyDrawing xmlns:r="http://schemas.openxmlformats.org/officeDocument/2006/relationships" r:id="anysvml"/>
  <tableParts count="1"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사번</t>
        </is>
      </c>
      <c r="B1" t="inlineStr">
        <is>
          <t>이름</t>
        </is>
      </c>
      <c r="C1" t="inlineStr">
        <is>
          <t>지점</t>
        </is>
      </c>
      <c r="D1" t="inlineStr">
        <is>
          <t>휴대전화</t>
        </is>
      </c>
      <c r="E1" t="inlineStr">
        <is>
          <t>입사일</t>
        </is>
      </c>
    </row>
    <row r="2">
      <c r="A2" s="4" t="inlineStr">
        <is>
          <t>18867</t>
        </is>
      </c>
      <c r="B2" t="inlineStr">
        <is>
          <t>김서연</t>
        </is>
      </c>
      <c r="C2" t="inlineStr">
        <is>
          <t>강남</t>
        </is>
      </c>
      <c r="D2" s="4" t="inlineStr">
        <is>
          <t>010-5934-8996</t>
        </is>
      </c>
      <c r="E2" s="5" t="n">
        <v>43467</v>
      </c>
    </row>
    <row r="3">
      <c r="A3" s="4" t="inlineStr">
        <is>
          <t>99596</t>
        </is>
      </c>
      <c r="B3" t="inlineStr">
        <is>
          <t>이민준</t>
        </is>
      </c>
      <c r="C3" t="inlineStr">
        <is>
          <t>서초</t>
        </is>
      </c>
      <c r="D3" s="4" t="inlineStr">
        <is>
          <t>010-9992-9527</t>
        </is>
      </c>
      <c r="E3" s="5" t="n">
        <v>43863</v>
      </c>
    </row>
    <row r="4">
      <c r="A4" s="4" t="inlineStr">
        <is>
          <t>13896</t>
        </is>
      </c>
      <c r="B4" t="inlineStr">
        <is>
          <t>박지우</t>
        </is>
      </c>
      <c r="C4" t="inlineStr">
        <is>
          <t>송파</t>
        </is>
      </c>
      <c r="D4" s="4" t="inlineStr">
        <is>
          <t>010-1962-3448</t>
        </is>
      </c>
      <c r="E4" s="5" t="n">
        <v>44257</v>
      </c>
    </row>
    <row r="5">
      <c r="A5" s="4" t="inlineStr">
        <is>
          <t>08024</t>
        </is>
      </c>
      <c r="B5" t="inlineStr">
        <is>
          <t>최하윤</t>
        </is>
      </c>
      <c r="C5" t="inlineStr">
        <is>
          <t>분당</t>
        </is>
      </c>
      <c r="D5" s="4" t="inlineStr">
        <is>
          <t>010-5359-9589</t>
        </is>
      </c>
      <c r="E5" s="5" t="n">
        <v>44653</v>
      </c>
    </row>
    <row r="6">
      <c r="A6" s="4" t="inlineStr">
        <is>
          <t>30984</t>
        </is>
      </c>
      <c r="B6" t="inlineStr">
        <is>
          <t>정도윤</t>
        </is>
      </c>
      <c r="C6" t="inlineStr">
        <is>
          <t>일산</t>
        </is>
      </c>
      <c r="D6" s="4" t="inlineStr">
        <is>
          <t>010-3044-8862</t>
        </is>
      </c>
      <c r="E6" s="5" t="n">
        <v>45048</v>
      </c>
    </row>
    <row r="7">
      <c r="A7" s="4" t="inlineStr">
        <is>
          <t>34711</t>
        </is>
      </c>
      <c r="B7" t="inlineStr">
        <is>
          <t>강서준</t>
        </is>
      </c>
      <c r="C7" t="inlineStr">
        <is>
          <t>강남</t>
        </is>
      </c>
      <c r="D7" s="4" t="inlineStr">
        <is>
          <t>010-5237-7881</t>
        </is>
      </c>
      <c r="E7" s="5" t="n">
        <v>45445</v>
      </c>
    </row>
    <row r="8">
      <c r="A8" s="4" t="inlineStr">
        <is>
          <t>86273</t>
        </is>
      </c>
      <c r="B8" t="inlineStr">
        <is>
          <t>조하은</t>
        </is>
      </c>
      <c r="C8" t="inlineStr">
        <is>
          <t>서초</t>
        </is>
      </c>
      <c r="D8" s="4" t="inlineStr">
        <is>
          <t>010-5146-3144</t>
        </is>
      </c>
      <c r="E8" s="5" t="n">
        <v>43648</v>
      </c>
    </row>
    <row r="9">
      <c r="A9" s="4" t="inlineStr">
        <is>
          <t>42851</t>
        </is>
      </c>
      <c r="B9" t="inlineStr">
        <is>
          <t>윤지호</t>
        </is>
      </c>
      <c r="C9" t="inlineStr">
        <is>
          <t>송파</t>
        </is>
      </c>
      <c r="D9" s="4" t="inlineStr">
        <is>
          <t>010-3183-9028</t>
        </is>
      </c>
      <c r="E9" s="5" t="n">
        <v>44045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지점</t>
        </is>
      </c>
      <c r="B1" t="inlineStr">
        <is>
          <t>합계</t>
        </is>
      </c>
    </row>
    <row r="2">
      <c r="A2" t="inlineStr">
        <is>
          <t>강남</t>
        </is>
      </c>
      <c r="B2" s="3">
        <f>SUMIFS(Sales[매출],Sales[지점],A2)</f>
        <v>112071000</v>
      </c>
    </row>
    <row r="3">
      <c r="A3" t="inlineStr">
        <is>
          <t>서초</t>
        </is>
      </c>
      <c r="B3" s="3">
        <f>SUMIFS(Sales[매출],Sales[지점],A3)</f>
        <v>111527000</v>
      </c>
    </row>
    <row r="4">
      <c r="A4" t="inlineStr">
        <is>
          <t>송파</t>
        </is>
      </c>
      <c r="B4" s="3">
        <f>SUMIFS(Sales[매출],Sales[지점],A4)</f>
        <v>108272000</v>
      </c>
    </row>
    <row r="5">
      <c r="A5" t="inlineStr">
        <is>
          <t>분당</t>
        </is>
      </c>
      <c r="B5" s="3">
        <f>SUMIFS(Sales[매출],Sales[지점],A5)</f>
        <v>104836000</v>
      </c>
    </row>
    <row r="6">
      <c r="A6" t="inlineStr">
        <is>
          <t>일산</t>
        </is>
      </c>
      <c r="B6" s="3">
        <f>SUMIFS(Sales[매출],Sales[지점],A6)</f>
        <v>92774000</v>
      </c>
    </row>
    <row r="8">
      <c r="A8" t="inlineStr">
        <is>
          <t>총계</t>
        </is>
      </c>
      <c r="B8" s="3">
        <f>SUM(B2:B6)</f>
        <v>529480000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2026-09-29T07:06:30Z</dcterms:created>
  <dcterms:modified xmlns:dcterms="http://purl.org/dc/terms/" xmlns:xsi="http://www.w3.org/2001/XMLSchema-instance" xsi:type="dcterms:W3CDTF">2026-09-29T07:06:30Z</dcterms:modified>
</cp:coreProperties>
</file>