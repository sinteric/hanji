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2300"/>
  </bookViews>
  <sheets>
    <sheet name="Sheet1" sheetId="1" r:id="rId1"/>
    <sheet name="매출" sheetId="2" r:id="rId4"/>
  </sheets>
  <calcPr calcId="191029"/>
</workbook>
</file>

<file path=xl/sharedStrings.xml><?xml version="1.0" encoding="utf-8"?>
<sst xmlns="http://schemas.openxmlformats.org/spreadsheetml/2006/main" count="27" uniqueCount="20">
  <si>
    <t>월</t>
  </si>
  <si>
    <t>지점</t>
  </si>
  <si>
    <t>Product</t>
  </si>
  <si>
    <t>매출</t>
  </si>
  <si>
    <t>원가</t>
  </si>
  <si>
    <t>이익</t>
  </si>
  <si>
    <t>이익률</t>
  </si>
  <si>
    <t>코드</t>
  </si>
  <si>
    <t>강남</t>
  </si>
  <si>
    <t>가전 Appliances</t>
  </si>
  <si>
    <t>00123</t>
  </si>
  <si>
    <t>종로</t>
  </si>
  <si>
    <t>Mobile</t>
  </si>
  <si>
    <t>00124</t>
  </si>
  <si>
    <t>부산</t>
  </si>
  <si>
    <t>가구</t>
  </si>
  <si>
    <t>00456</t>
  </si>
  <si>
    <t>대구</t>
  </si>
  <si>
    <t>00789</t>
  </si>
  <si>
    <t>2026 1분기 매출 요약 (Q1 sales summary)</t>
  </si>
</sst>
</file>

<file path=xl/styles.xml><?xml version="1.0" encoding="utf-8"?>
<styleSheet xmlns="http://schemas.openxmlformats.org/spreadsheetml/2006/main">
  <numFmts count="2">
    <numFmt numFmtId="164" formatCode="yyyy-mm"/>
    <numFmt numFmtId="165" formatCode="0.0%"/>
  </numFmts>
  <fonts count="3">
    <font>
      <sz val="11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4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9" tint="0.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rgb="FF1F3864"/>
      </left>
      <right/>
      <top/>
      <bottom/>
      <diagonal/>
    </border>
    <border>
      <left style="thick">
        <color rgb="FF1F3864"/>
      </left>
      <right/>
      <top/>
      <bottom style="thick">
        <color rgb="FF1F3864"/>
      </bottom>
      <diagonal/>
    </border>
    <border>
      <left/>
      <right style="thick">
        <color rgb="FF1F3864"/>
      </right>
      <top/>
      <bottom/>
      <diagonal/>
    </border>
    <border>
      <left/>
      <right/>
      <top/>
      <bottom style="thick">
        <color rgb="FF1F3864"/>
      </bottom>
      <diagonal/>
    </border>
    <border>
      <left/>
      <right style="thick">
        <color rgb="FF1F3864"/>
      </right>
      <top/>
      <bottom style="thick">
        <color rgb="FF1F3864"/>
      </bottom>
      <diagonal/>
    </border>
    <border>
      <left/>
      <right/>
      <top style="thick">
        <color rgb="FF1F3864"/>
      </top>
      <bottom style="medium">
        <color rgb="FF000000"/>
      </bottom>
      <diagonal/>
    </border>
    <border>
      <left/>
      <right style="thick">
        <color rgb="FF1F3864"/>
      </right>
      <top style="thick">
        <color rgb="FF1F3864"/>
      </top>
      <bottom style="medium">
        <color rgb="FF000000"/>
      </bottom>
      <diagonal/>
    </border>
    <border>
      <left style="thick">
        <color rgb="FF1F3864"/>
      </left>
      <right/>
      <top style="thick">
        <color rgb="FF1F3864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49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0" fillId="3" borderId="0" xfId="0" applyNumberFormat="1" applyAlignment="1" applyFill="1">
      <alignment horizontal="right"/>
    </xf>
    <xf numFmtId="164" fontId="0" fillId="0" borderId="2" xfId="0" applyNumberFormat="1" applyBorder="1"/>
    <xf numFmtId="164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3" fontId="0" fillId="0" borderId="5" xfId="0" applyNumberFormat="1" applyAlignment="1" applyBorder="1">
      <alignment horizontal="right"/>
    </xf>
    <xf numFmtId="165" fontId="0" fillId="0" borderId="5" xfId="0" applyNumberFormat="1" applyAlignment="1" applyBorder="1">
      <alignment horizontal="right"/>
    </xf>
    <xf numFmtId="3" fontId="0" fillId="3" borderId="5" xfId="0" applyNumberFormat="1" applyAlignment="1" applyFill="1" applyBorder="1">
      <alignment horizontal="right"/>
    </xf>
    <xf numFmtId="0" fontId="2" fillId="0" borderId="0" xfId="0" applyFont="1"/>
  </cellXfs>
  <cellStyles count="1">
    <cellStyle name="Normal" xfId="0" builtinId="0"/>
  </cellStyles>
  <dxfs count="4">
    <dxf>
      <numFmt numFmtId="164" formatCode="yyyy-mm"/>
    </dxf>
    <dxf>
      <numFmt numFmtId="49" formatCode="@"/>
    </dxf>
    <dxf>
      <numFmt numFmtId="3" formatCode="#,##0"/>
    </dxf>
    <dxf>
      <numFmt numFmtId="165" formatCode="0.0%"/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Sales" displayName="Sales" ref="A1:H7" totalsRowShown="0">
  <autoFilter ref="A1:H7"/>
  <tableColumns count="8">
    <tableColumn id="1" name="월" dataDxfId="0"/>
    <tableColumn id="2" name="지점" dataDxfId="1"/>
    <tableColumn id="3" name="Product" dataDxfId="1"/>
    <tableColumn id="4" name="매출" dataDxfId="2"/>
    <tableColumn id="5" name="원가" dataDxfId="2"/>
    <tableColumn id="6" name="이익" dataDxfId="2">
      <calculatedColumnFormula>Sales[[#This Row],[매출]]-Sales[[#This Row],[원가]]</calculatedColumnFormula>
    </tableColumn>
    <tableColumn id="7" name="이익률" dataDxfId="3">
      <calculatedColumnFormula>Sales[[#This Row],[이익]]/Sales[[#This Row],[매출]]</calculatedColumnFormula>
    </tableColumn>
    <tableColumn id="8" name="코드" dataDxfId="1"/>
  </tableColumns>
  <tableStyleInfo name="TableStyleMedium2" showFirstColumn="0" showLastColumn="0" showRowStripes="1" showColumnStripes="0"/>
</tabl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sheetData>
    <row r="1">
      <c r="A1" t="s" s="20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>
      <c r="A1" t="s" s="16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5">
        <v>7</v>
      </c>
    </row>
    <row r="2">
      <c r="A2" s="9">
        <v>46023</v>
      </c>
      <c r="B2" s="2" t="s">
        <v>8</v>
      </c>
      <c r="C2" s="2" t="s">
        <v>9</v>
      </c>
      <c r="D2" s="6">
        <v>12400000</v>
      </c>
      <c r="E2" s="6">
        <v>9000000</v>
      </c>
      <c r="F2" s="8">
        <f>Sales[[#This Row],[매출]]-Sales[[#This Row],[원가]]</f>
        <v>3400000</v>
      </c>
      <c r="G2" s="7">
        <f>Sales[[#This Row],[이익]]/Sales[[#This Row],[매출]]</f>
        <v>0.27419354838709675</v>
      </c>
      <c r="H2" s="11" t="s">
        <v>10</v>
      </c>
    </row>
    <row r="3">
      <c r="A3" s="9">
        <v>46023</v>
      </c>
      <c r="B3" s="2" t="s">
        <v>11</v>
      </c>
      <c r="C3" s="2" t="s">
        <v>12</v>
      </c>
      <c r="D3" s="6">
        <v>8150000</v>
      </c>
      <c r="E3" s="6">
        <v>6020000</v>
      </c>
      <c r="F3" s="8">
        <f>Sales[[#This Row],[매출]]-Sales[[#This Row],[원가]]</f>
        <v>2130000</v>
      </c>
      <c r="G3" s="7">
        <f>Sales[[#This Row],[이익]]/Sales[[#This Row],[매출]]</f>
        <v>0.26134969325153373</v>
      </c>
      <c r="H3" s="11" t="s">
        <v>13</v>
      </c>
    </row>
    <row r="4">
      <c r="A4" s="9">
        <v>46054</v>
      </c>
      <c r="B4" s="2" t="s">
        <v>14</v>
      </c>
      <c r="C4" s="2" t="s">
        <v>15</v>
      </c>
      <c r="D4" s="6">
        <v>5320000</v>
      </c>
      <c r="E4" s="6">
        <v>4100000</v>
      </c>
      <c r="F4" s="8">
        <f>Sales[[#This Row],[매출]]-Sales[[#This Row],[원가]]</f>
        <v>1220000</v>
      </c>
      <c r="G4" s="7">
        <f>Sales[[#This Row],[이익]]/Sales[[#This Row],[매출]]</f>
        <v>0.22932330827067668</v>
      </c>
      <c r="H4" s="11" t="s">
        <v>16</v>
      </c>
    </row>
    <row r="5">
      <c r="A5" s="9">
        <v>46054</v>
      </c>
      <c r="B5" s="2" t="s">
        <v>8</v>
      </c>
      <c r="C5" s="2" t="s">
        <v>9</v>
      </c>
      <c r="D5" s="6">
        <v>13900000</v>
      </c>
      <c r="E5" s="6">
        <v>9800000</v>
      </c>
      <c r="F5" s="8">
        <f>Sales[[#This Row],[매출]]-Sales[[#This Row],[원가]]</f>
        <v>4100000</v>
      </c>
      <c r="G5" s="7">
        <f>Sales[[#This Row],[이익]]/Sales[[#This Row],[매출]]</f>
        <v>0.2949640287769784</v>
      </c>
      <c r="H5" s="11" t="s">
        <v>10</v>
      </c>
    </row>
    <row r="6">
      <c r="A6" s="9">
        <v>46082</v>
      </c>
      <c r="B6" s="2" t="s">
        <v>17</v>
      </c>
      <c r="C6" s="2" t="s">
        <v>12</v>
      </c>
      <c r="D6" s="6">
        <v>6400000</v>
      </c>
      <c r="E6" s="6">
        <v>5100000</v>
      </c>
      <c r="F6" s="8">
        <f>Sales[[#This Row],[매출]]-Sales[[#This Row],[원가]]</f>
        <v>1300000</v>
      </c>
      <c r="G6" s="7">
        <f>Sales[[#This Row],[이익]]/Sales[[#This Row],[매출]]</f>
        <v>0.203125</v>
      </c>
      <c r="H6" s="11" t="s">
        <v>18</v>
      </c>
    </row>
    <row r="7">
      <c r="A7" s="10">
        <v>46082</v>
      </c>
      <c r="B7" s="12" t="s">
        <v>11</v>
      </c>
      <c r="C7" s="12" t="s">
        <v>15</v>
      </c>
      <c r="D7" s="17">
        <v>7250000</v>
      </c>
      <c r="E7" s="17">
        <v>5300000</v>
      </c>
      <c r="F7" s="19">
        <f>Sales[[#This Row],[매출]]-Sales[[#This Row],[원가]]</f>
        <v>1950000</v>
      </c>
      <c r="G7" s="18">
        <f>Sales[[#This Row],[이익]]/Sales[[#This Row],[매출]]</f>
        <v>0.2689655172413793</v>
      </c>
      <c r="H7" s="13" t="s">
        <v>13</v>
      </c>
    </row>
  </sheetData>
  <pageMargins left="0.7" right="0.7" top="0.75" bottom="0.75" header="0.3" footer="0.3"/>
  <tableParts count="1">
    <tablePart r:id="rId1"/>
  </tableParts>
</worksheet>
</file>